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inition" sheetId="1" r:id="rId4"/>
    <sheet state="visible" name="Savings" sheetId="2" r:id="rId5"/>
    <sheet state="visible" name="Sales Estimation" sheetId="3" r:id="rId6"/>
    <sheet state="visible" name="Marketing Campaign" sheetId="4" r:id="rId7"/>
    <sheet state="visible" name="Expense Planning" sheetId="5" r:id="rId8"/>
  </sheets>
  <definedNames>
    <definedName name="Expected_sales">'Sales Estimation'!$C$11</definedName>
    <definedName name="Discount">'Sales Estimation'!$C$9</definedName>
    <definedName name="entertainment">Savings!$C$5</definedName>
    <definedName name="Savings">Savings!$C$13</definedName>
    <definedName name="Ad_budget">'Sales Estimation'!$C$8</definedName>
    <definedName name="Income">Savings!$C$12</definedName>
    <definedName name="Housing">Savings!$C$4</definedName>
    <definedName name="Transportation">Savings!$C$6</definedName>
    <definedName name="Personal_care">Savings!$C$9</definedName>
    <definedName name="loan">Savings!$C$7</definedName>
    <definedName name="Food">Savings!$C$8</definedName>
  </definedNames>
  <calcPr/>
  <extLst>
    <ext uri="GoogleSheetsCustomDataVersion2">
      <go:sheetsCustomData xmlns:go="http://customooxmlschemas.google.com/" r:id="rId9" roundtripDataChecksum="wgedbBey0Nw/FIphE8SRvlFBsyYMv8KPTt/OybQOMWk="/>
    </ext>
  </extLst>
</workbook>
</file>

<file path=xl/sharedStrings.xml><?xml version="1.0" encoding="utf-8"?>
<sst xmlns="http://schemas.openxmlformats.org/spreadsheetml/2006/main" count="76" uniqueCount="63">
  <si>
    <t>Use Scenario Manager to simulate different expense scenarios and see how they affect your savings!</t>
  </si>
  <si>
    <t>Scenarios:</t>
  </si>
  <si>
    <t>Category</t>
  </si>
  <si>
    <t>Cost</t>
  </si>
  <si>
    <t>Current</t>
  </si>
  <si>
    <t>Next</t>
  </si>
  <si>
    <t>After completing loan</t>
  </si>
  <si>
    <t>Housing</t>
  </si>
  <si>
    <t>Entertainment</t>
  </si>
  <si>
    <t>Transportation</t>
  </si>
  <si>
    <t>Loans</t>
  </si>
  <si>
    <t>Food</t>
  </si>
  <si>
    <t>Personal Care</t>
  </si>
  <si>
    <t>Total Cost</t>
  </si>
  <si>
    <t>Income</t>
  </si>
  <si>
    <t>Savings</t>
  </si>
  <si>
    <t>Metric</t>
  </si>
  <si>
    <t>Current Value</t>
  </si>
  <si>
    <t>Conservative Strategy</t>
  </si>
  <si>
    <t>Balanced Strategy</t>
  </si>
  <si>
    <t>Aggressive Strategy</t>
  </si>
  <si>
    <t>Ad Budget (in $)</t>
  </si>
  <si>
    <t>Discount (%)</t>
  </si>
  <si>
    <t>Base Sales (units)</t>
  </si>
  <si>
    <t>Expected Sales (Units)</t>
  </si>
  <si>
    <t>Low Budget, Low Discount</t>
  </si>
  <si>
    <t>Medium Budget, Medium Discount</t>
  </si>
  <si>
    <t>High Budget, High Discount</t>
  </si>
  <si>
    <t>ES=</t>
  </si>
  <si>
    <t>(Base Sales + (Ad Budget * 0.1)) * (1 + Discount / 100)</t>
  </si>
  <si>
    <t>0.1 is the conversion rate. For every $10 spent on ads, you sell 1 extra unit.</t>
  </si>
  <si>
    <t>Base Sales</t>
  </si>
  <si>
    <r>
      <rPr>
        <rFont val="Calibri"/>
        <color theme="1"/>
      </rPr>
      <t>Starting point,</t>
    </r>
    <r>
      <rPr>
        <rFont val="Calibri"/>
        <color theme="1"/>
        <sz val="11.0"/>
      </rPr>
      <t xml:space="preserve"> the number of units you expect to sell without any extra promotions or ad spend.</t>
    </r>
  </si>
  <si>
    <t>Marketing Campaign Planning</t>
  </si>
  <si>
    <t>1. Optimistic Case (Faster, Cheaper)</t>
  </si>
  <si>
    <t>2. Pessimistic Case (Delays, Cost Overruns)</t>
  </si>
  <si>
    <t>Task</t>
  </si>
  <si>
    <t>Current Duration (Days)</t>
  </si>
  <si>
    <t>Cost per Day ($)</t>
  </si>
  <si>
    <t>Total Cost ($)</t>
  </si>
  <si>
    <t>Duration (Days)</t>
  </si>
  <si>
    <t>Market Research</t>
  </si>
  <si>
    <t>Content Creation</t>
  </si>
  <si>
    <t>Ad Campaign Execution</t>
  </si>
  <si>
    <t>Event Coordination</t>
  </si>
  <si>
    <t>Total cost</t>
  </si>
  <si>
    <t>3. Balanced Case (Trade-off Between Time &amp; Cost)</t>
  </si>
  <si>
    <t>Item</t>
  </si>
  <si>
    <t>Current Value (in $)</t>
  </si>
  <si>
    <t>Basic Living</t>
  </si>
  <si>
    <t>Balanced Lifestyle</t>
  </si>
  <si>
    <t>Luxurious Lifestyle</t>
  </si>
  <si>
    <t>Rent/Mortgage</t>
  </si>
  <si>
    <t>Groceries &amp; Essentials</t>
  </si>
  <si>
    <t>Dining Out</t>
  </si>
  <si>
    <t>Fitness/Wellness</t>
  </si>
  <si>
    <t>Travel &amp; Vacations</t>
  </si>
  <si>
    <t>Subscriptions</t>
  </si>
  <si>
    <t>Savings/Investments</t>
  </si>
  <si>
    <t>Emergency Fund</t>
  </si>
  <si>
    <t>Charity/Donations</t>
  </si>
  <si>
    <t>Miscellaneous</t>
  </si>
  <si>
    <t>Total Monthly Expenses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</si>
</sst>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b/>
      <color theme="1"/>
      <name val="Calibri"/>
      <scheme val="minor"/>
    </font>
    <font>
      <b/>
      <sz val="11.0"/>
      <color theme="1"/>
      <name val="Calibri"/>
    </font>
    <font>
      <sz val="11.0"/>
      <color theme="1"/>
      <name val="Calibri"/>
    </font>
    <font>
      <b/>
      <sz val="13.0"/>
      <color theme="1"/>
      <name val="Calibri"/>
    </font>
  </fonts>
  <fills count="4">
    <fill>
      <patternFill patternType="none"/>
    </fill>
    <fill>
      <patternFill patternType="lightGray"/>
    </fill>
    <fill>
      <patternFill patternType="solid">
        <fgColor rgb="FFD9E2F3"/>
        <bgColor rgb="FFD9E2F3"/>
      </patternFill>
    </fill>
    <fill>
      <patternFill patternType="solid">
        <fgColor rgb="FFFEF2CB"/>
        <bgColor rgb="FFFEF2CB"/>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1" fillId="0" fontId="3" numFmtId="0" xfId="0" applyBorder="1" applyFont="1"/>
    <xf borderId="1" fillId="0" fontId="4" numFmtId="0" xfId="0" applyBorder="1" applyFont="1"/>
    <xf borderId="1" fillId="2" fontId="4" numFmtId="0" xfId="0" applyBorder="1" applyFill="1" applyFont="1"/>
    <xf borderId="1" fillId="3" fontId="4" numFmtId="0" xfId="0" applyBorder="1" applyFill="1" applyFont="1"/>
    <xf borderId="1" fillId="0" fontId="3"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2" fontId="4" numFmtId="0" xfId="0" applyAlignment="1" applyBorder="1" applyFont="1">
      <alignment shrinkToFit="0" vertical="center" wrapText="1"/>
    </xf>
    <xf borderId="1" fillId="3" fontId="4" numFmtId="0" xfId="0" applyAlignment="1" applyBorder="1" applyFont="1">
      <alignment shrinkToFit="0" vertical="center" wrapText="1"/>
    </xf>
    <xf borderId="0" fillId="0" fontId="3" numFmtId="0" xfId="0" applyFont="1"/>
    <xf borderId="1" fillId="0" fontId="3" numFmtId="0" xfId="0" applyAlignment="1" applyBorder="1" applyFont="1">
      <alignment horizontal="center" shrinkToFit="0" vertical="top" wrapText="1"/>
    </xf>
    <xf borderId="0" fillId="0" fontId="3" numFmtId="0" xfId="0" applyAlignment="1" applyFont="1">
      <alignment horizontal="center" shrinkToFit="0" vertical="center" wrapText="1"/>
    </xf>
    <xf borderId="1" fillId="0" fontId="3" numFmtId="0" xfId="0" applyAlignment="1" applyBorder="1" applyFont="1">
      <alignment shrinkToFit="0" vertical="top" wrapText="1"/>
    </xf>
    <xf borderId="0" fillId="0" fontId="4" numFmtId="0" xfId="0" applyAlignment="1" applyFont="1">
      <alignment shrinkToFit="0" vertical="center" wrapText="1"/>
    </xf>
    <xf borderId="1" fillId="2" fontId="4" numFmtId="3" xfId="0" applyAlignment="1" applyBorder="1" applyFont="1" applyNumberFormat="1">
      <alignment shrinkToFit="0" vertical="top" wrapText="1"/>
    </xf>
    <xf borderId="0" fillId="0" fontId="4" numFmtId="3" xfId="0" applyAlignment="1" applyFont="1" applyNumberFormat="1">
      <alignment shrinkToFit="0" vertical="center" wrapText="1"/>
    </xf>
    <xf borderId="1" fillId="0" fontId="4" numFmtId="0" xfId="0" applyAlignment="1" applyBorder="1" applyFont="1">
      <alignment shrinkToFit="0" vertical="top" wrapText="1"/>
    </xf>
    <xf borderId="1" fillId="3" fontId="3" numFmtId="3" xfId="0" applyAlignment="1" applyBorder="1" applyFont="1" applyNumberFormat="1">
      <alignment shrinkToFit="0" vertical="top" wrapText="1"/>
    </xf>
    <xf borderId="2" fillId="0" fontId="3" numFmtId="0" xfId="0" applyAlignment="1" applyBorder="1" applyFont="1">
      <alignment shrinkToFit="0" vertical="top" wrapText="1"/>
    </xf>
    <xf borderId="0" fillId="0" fontId="5" numFmtId="0" xfId="0" applyAlignment="1" applyFont="1">
      <alignment vertical="center"/>
    </xf>
    <xf borderId="0" fillId="0" fontId="4" numFmtId="0" xfId="0" applyAlignment="1" applyFont="1">
      <alignment horizontal="left" vertical="center"/>
    </xf>
    <xf borderId="0" fillId="0" fontId="3" numFmtId="0" xfId="0" applyAlignment="1" applyFont="1">
      <alignment shrinkToFit="0" vertical="center" wrapText="1"/>
    </xf>
    <xf borderId="0" fillId="0" fontId="3" numFmtId="3" xfId="0" applyAlignment="1" applyFont="1" applyNumberFormat="1">
      <alignment shrinkToFit="0" vertical="center" wrapText="1"/>
    </xf>
    <xf borderId="1" fillId="0" fontId="3" numFmtId="0" xfId="0" applyAlignment="1" applyBorder="1" applyFont="1">
      <alignment shrinkToFit="0" vertical="center" wrapText="1"/>
    </xf>
    <xf borderId="3" fillId="2" fontId="4" numFmtId="0" xfId="0" applyAlignment="1" applyBorder="1" applyFont="1">
      <alignment shrinkToFit="0" vertical="center" wrapText="1"/>
    </xf>
    <xf borderId="3"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533400</xdr:colOff>
      <xdr:row>1</xdr:row>
      <xdr:rowOff>0</xdr:rowOff>
    </xdr:from>
    <xdr:ext cx="5819775" cy="1266825"/>
    <xdr:sp>
      <xdr:nvSpPr>
        <xdr:cNvPr id="3" name="Shape 3"/>
        <xdr:cNvSpPr txBox="1"/>
      </xdr:nvSpPr>
      <xdr:spPr>
        <a:xfrm>
          <a:off x="2440875" y="3146588"/>
          <a:ext cx="5810250" cy="12668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600">
              <a:solidFill>
                <a:schemeClr val="dk1"/>
              </a:solidFill>
              <a:latin typeface="Calibri"/>
              <a:ea typeface="Calibri"/>
              <a:cs typeface="Calibri"/>
              <a:sym typeface="Calibri"/>
            </a:rPr>
            <a:t>Scenario Manager</a:t>
          </a:r>
          <a:r>
            <a:rPr lang="en-US" sz="1600">
              <a:solidFill>
                <a:schemeClr val="dk1"/>
              </a:solidFill>
              <a:latin typeface="Calibri"/>
              <a:ea typeface="Calibri"/>
              <a:cs typeface="Calibri"/>
              <a:sym typeface="Calibri"/>
            </a:rPr>
            <a:t> is a </a:t>
          </a:r>
          <a:r>
            <a:rPr b="1" lang="en-US" sz="1600">
              <a:solidFill>
                <a:schemeClr val="dk1"/>
              </a:solidFill>
              <a:latin typeface="Calibri"/>
              <a:ea typeface="Calibri"/>
              <a:cs typeface="Calibri"/>
              <a:sym typeface="Calibri"/>
            </a:rPr>
            <a:t>What-If Analysis tool</a:t>
          </a:r>
          <a:r>
            <a:rPr lang="en-US" sz="1600">
              <a:solidFill>
                <a:schemeClr val="dk1"/>
              </a:solidFill>
              <a:latin typeface="Calibri"/>
              <a:ea typeface="Calibri"/>
              <a:cs typeface="Calibri"/>
              <a:sym typeface="Calibri"/>
            </a:rPr>
            <a:t> in Excel that lets you create and compare </a:t>
          </a:r>
          <a:r>
            <a:rPr b="0" lang="en-US" sz="1600">
              <a:solidFill>
                <a:schemeClr val="dk1"/>
              </a:solidFill>
              <a:latin typeface="Calibri"/>
              <a:ea typeface="Calibri"/>
              <a:cs typeface="Calibri"/>
              <a:sym typeface="Calibri"/>
            </a:rPr>
            <a:t>different sets of values </a:t>
          </a:r>
          <a:r>
            <a:rPr lang="en-US" sz="1600">
              <a:solidFill>
                <a:schemeClr val="dk1"/>
              </a:solidFill>
              <a:latin typeface="Calibri"/>
              <a:ea typeface="Calibri"/>
              <a:cs typeface="Calibri"/>
              <a:sym typeface="Calibri"/>
            </a:rPr>
            <a:t>for your data. It helps you model multiple scenarios and see how changes in variables affect the final outcome — without manually changing the data each time!</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342900</xdr:colOff>
      <xdr:row>0</xdr:row>
      <xdr:rowOff>66675</xdr:rowOff>
    </xdr:from>
    <xdr:ext cx="7943850" cy="781050"/>
    <xdr:sp>
      <xdr:nvSpPr>
        <xdr:cNvPr id="4" name="Shape 4"/>
        <xdr:cNvSpPr txBox="1"/>
      </xdr:nvSpPr>
      <xdr:spPr>
        <a:xfrm>
          <a:off x="1378838" y="3389475"/>
          <a:ext cx="7934325" cy="7810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Sales Forecasting Based on Ad Budget and Discount Strategy:</a:t>
          </a:r>
          <a:endParaRPr sz="1400"/>
        </a:p>
        <a:p>
          <a:pPr indent="0" lvl="0" marL="0" rtl="0" algn="l">
            <a:spcBef>
              <a:spcPts val="0"/>
            </a:spcBef>
            <a:spcAft>
              <a:spcPts val="0"/>
            </a:spcAft>
            <a:buNone/>
          </a:pPr>
          <a:r>
            <a:rPr lang="en-US" sz="1100">
              <a:solidFill>
                <a:schemeClr val="dk1"/>
              </a:solidFill>
              <a:latin typeface="Calibri"/>
              <a:ea typeface="Calibri"/>
              <a:cs typeface="Calibri"/>
              <a:sym typeface="Calibri"/>
            </a:rPr>
            <a:t>A company is analyzing how </a:t>
          </a:r>
          <a:r>
            <a:rPr b="0" lang="en-US" sz="1100">
              <a:solidFill>
                <a:schemeClr val="dk1"/>
              </a:solidFill>
              <a:latin typeface="Calibri"/>
              <a:ea typeface="Calibri"/>
              <a:cs typeface="Calibri"/>
              <a:sym typeface="Calibri"/>
            </a:rPr>
            <a:t>advertising budget </a:t>
          </a:r>
          <a:r>
            <a:rPr lang="en-US" sz="1100">
              <a:solidFill>
                <a:schemeClr val="dk1"/>
              </a:solidFill>
              <a:latin typeface="Calibri"/>
              <a:ea typeface="Calibri"/>
              <a:cs typeface="Calibri"/>
              <a:sym typeface="Calibri"/>
            </a:rPr>
            <a:t>and </a:t>
          </a:r>
          <a:r>
            <a:rPr b="0" lang="en-US" sz="1100">
              <a:solidFill>
                <a:schemeClr val="dk1"/>
              </a:solidFill>
              <a:latin typeface="Calibri"/>
              <a:ea typeface="Calibri"/>
              <a:cs typeface="Calibri"/>
              <a:sym typeface="Calibri"/>
            </a:rPr>
            <a:t>discount offers </a:t>
          </a:r>
          <a:r>
            <a:rPr lang="en-US" sz="1100">
              <a:solidFill>
                <a:schemeClr val="dk1"/>
              </a:solidFill>
              <a:latin typeface="Calibri"/>
              <a:ea typeface="Calibri"/>
              <a:cs typeface="Calibri"/>
              <a:sym typeface="Calibri"/>
            </a:rPr>
            <a:t>impact product sales. The marketing team wants to test different budget and discount scenarios to maximize sales while staying within cost limits.</a:t>
          </a:r>
          <a:endParaRPr sz="1400"/>
        </a:p>
        <a:p>
          <a:pPr indent="0" lvl="0" marL="0" rtl="0" algn="l">
            <a:spcBef>
              <a:spcPts val="0"/>
            </a:spcBef>
            <a:spcAft>
              <a:spcPts val="0"/>
            </a:spcAft>
            <a:buNone/>
          </a:pPr>
          <a:r>
            <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1</xdr:row>
      <xdr:rowOff>133350</xdr:rowOff>
    </xdr:from>
    <xdr:ext cx="8001000" cy="638175"/>
    <xdr:sp>
      <xdr:nvSpPr>
        <xdr:cNvPr id="5" name="Shape 5"/>
        <xdr:cNvSpPr txBox="1"/>
      </xdr:nvSpPr>
      <xdr:spPr>
        <a:xfrm>
          <a:off x="1350263" y="3465675"/>
          <a:ext cx="7991475" cy="6286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A marketing team is planning a product launch campaign. The success and timeline of the campaign depend on factors like ad budget, content creation speed, and event coordination. Each phase impacts the next, and costs change depending on the duration and resources used.</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161925</xdr:rowOff>
    </xdr:from>
    <xdr:ext cx="9048750" cy="800100"/>
    <xdr:sp>
      <xdr:nvSpPr>
        <xdr:cNvPr id="6" name="Shape 6"/>
        <xdr:cNvSpPr txBox="1"/>
      </xdr:nvSpPr>
      <xdr:spPr>
        <a:xfrm>
          <a:off x="826388" y="3384713"/>
          <a:ext cx="9039225" cy="7905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Lifestyle Expense Planning </a:t>
          </a:r>
          <a:endParaRPr sz="1400"/>
        </a:p>
        <a:p>
          <a:pPr indent="0" lvl="0" marL="0" rtl="0" algn="l">
            <a:spcBef>
              <a:spcPts val="0"/>
            </a:spcBef>
            <a:spcAft>
              <a:spcPts val="0"/>
            </a:spcAft>
            <a:buNone/>
          </a:pPr>
          <a:r>
            <a:rPr lang="en-US" sz="1100">
              <a:solidFill>
                <a:schemeClr val="dk1"/>
              </a:solidFill>
              <a:latin typeface="Calibri"/>
              <a:ea typeface="Calibri"/>
              <a:cs typeface="Calibri"/>
              <a:sym typeface="Calibri"/>
            </a:rPr>
            <a:t>You are helping an individual plan their monthly expenses based on different lifestyle choices. The goal is to understand how various lifestyle decisions impact overall spending and savings.</a:t>
          </a:r>
          <a:endParaRPr sz="1400"/>
        </a:p>
        <a:p>
          <a:pPr indent="0" lvl="0" marL="0" rtl="0" algn="l">
            <a:spcBef>
              <a:spcPts val="0"/>
            </a:spcBef>
            <a:spcAft>
              <a:spcPts val="0"/>
            </a:spcAft>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86"/>
    <col customWidth="1" min="3" max="12" width="8.71"/>
    <col customWidth="1" min="13" max="13" width="19.57"/>
    <col customWidth="1" min="14" max="26" width="8.71"/>
  </cols>
  <sheetData>
    <row r="1" ht="14.25" customHeight="1">
      <c r="C1" s="1" t="s">
        <v>0</v>
      </c>
    </row>
    <row r="2" ht="14.25" customHeight="1">
      <c r="K2" s="2" t="s">
        <v>1</v>
      </c>
    </row>
    <row r="3" ht="14.25" customHeight="1">
      <c r="B3" s="3" t="s">
        <v>2</v>
      </c>
      <c r="C3" s="3" t="s">
        <v>3</v>
      </c>
      <c r="K3" s="4" t="s">
        <v>4</v>
      </c>
      <c r="L3" s="4" t="s">
        <v>5</v>
      </c>
      <c r="M3" s="4" t="s">
        <v>6</v>
      </c>
    </row>
    <row r="4" ht="14.25" customHeight="1">
      <c r="B4" s="4" t="s">
        <v>7</v>
      </c>
      <c r="C4" s="4">
        <v>3000.0</v>
      </c>
      <c r="K4" s="4">
        <v>4000.0</v>
      </c>
      <c r="L4" s="4">
        <v>5000.0</v>
      </c>
      <c r="M4" s="4">
        <v>3000.0</v>
      </c>
    </row>
    <row r="5" ht="14.25" customHeight="1">
      <c r="B5" s="4" t="s">
        <v>8</v>
      </c>
      <c r="C5" s="4">
        <v>1500.0</v>
      </c>
      <c r="K5" s="4">
        <v>1500.0</v>
      </c>
      <c r="L5" s="4">
        <v>1500.0</v>
      </c>
      <c r="M5" s="4">
        <v>1500.0</v>
      </c>
    </row>
    <row r="6" ht="14.25" customHeight="1">
      <c r="B6" s="4" t="s">
        <v>9</v>
      </c>
      <c r="C6" s="4">
        <v>2000.0</v>
      </c>
      <c r="K6" s="4">
        <v>2000.0</v>
      </c>
      <c r="L6" s="4">
        <v>2500.0</v>
      </c>
      <c r="M6" s="4">
        <v>2000.0</v>
      </c>
    </row>
    <row r="7" ht="14.25" customHeight="1">
      <c r="B7" s="4" t="s">
        <v>10</v>
      </c>
      <c r="C7" s="4"/>
      <c r="K7" s="4">
        <v>4000.0</v>
      </c>
      <c r="L7" s="4">
        <v>2500.0</v>
      </c>
      <c r="M7" s="4"/>
    </row>
    <row r="8" ht="14.25" customHeight="1">
      <c r="B8" s="4" t="s">
        <v>11</v>
      </c>
      <c r="C8" s="4">
        <v>1500.0</v>
      </c>
      <c r="K8" s="4">
        <v>1500.0</v>
      </c>
      <c r="L8" s="4">
        <v>3000.0</v>
      </c>
      <c r="M8" s="4">
        <v>1500.0</v>
      </c>
    </row>
    <row r="9" ht="14.25" customHeight="1">
      <c r="B9" s="4" t="s">
        <v>12</v>
      </c>
      <c r="C9" s="4">
        <v>2000.0</v>
      </c>
      <c r="K9" s="4">
        <v>2000.0</v>
      </c>
      <c r="L9" s="4">
        <v>2000.0</v>
      </c>
      <c r="M9" s="4">
        <v>2000.0</v>
      </c>
    </row>
    <row r="10" ht="14.25" customHeight="1"/>
    <row r="11" ht="14.25" customHeight="1">
      <c r="B11" s="4" t="s">
        <v>13</v>
      </c>
      <c r="C11" s="4">
        <f>SUM(C4:C9)</f>
        <v>10000</v>
      </c>
      <c r="K11" s="4"/>
      <c r="L11" s="4"/>
      <c r="M11" s="4"/>
    </row>
    <row r="12" ht="14.25" customHeight="1">
      <c r="B12" s="4" t="s">
        <v>14</v>
      </c>
      <c r="C12" s="5">
        <v>35000.0</v>
      </c>
      <c r="K12" s="4">
        <v>20000.0</v>
      </c>
      <c r="L12" s="4">
        <v>35000.0</v>
      </c>
      <c r="M12" s="4">
        <v>35000.0</v>
      </c>
    </row>
    <row r="13" ht="14.25" customHeight="1">
      <c r="B13" s="4" t="s">
        <v>15</v>
      </c>
      <c r="C13" s="6">
        <f>C12-C11</f>
        <v>25000</v>
      </c>
      <c r="K13" s="4"/>
      <c r="L13" s="4"/>
      <c r="M13" s="4"/>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1.14"/>
    <col customWidth="1" min="3" max="3" width="13.29"/>
    <col customWidth="1" min="4" max="7" width="8.71"/>
    <col customWidth="1" min="8" max="8" width="11.14"/>
    <col customWidth="1" min="9" max="9" width="23.14"/>
    <col customWidth="1" min="10" max="10" width="20.14"/>
    <col customWidth="1" min="11" max="11" width="23.29"/>
    <col customWidth="1" min="12" max="26" width="8.71"/>
  </cols>
  <sheetData>
    <row r="1" ht="14.25" customHeight="1"/>
    <row r="2" ht="14.25" customHeight="1"/>
    <row r="3" ht="14.25" customHeight="1"/>
    <row r="4" ht="14.25" customHeight="1"/>
    <row r="5" ht="14.25" customHeight="1"/>
    <row r="6" ht="14.25" customHeight="1">
      <c r="I6" s="2" t="s">
        <v>1</v>
      </c>
    </row>
    <row r="7" ht="14.25" customHeight="1">
      <c r="B7" s="7" t="s">
        <v>16</v>
      </c>
      <c r="C7" s="7" t="s">
        <v>17</v>
      </c>
      <c r="I7" s="4" t="s">
        <v>18</v>
      </c>
      <c r="J7" s="4" t="s">
        <v>19</v>
      </c>
      <c r="K7" s="4" t="s">
        <v>20</v>
      </c>
    </row>
    <row r="8" ht="14.25" customHeight="1">
      <c r="B8" s="8" t="s">
        <v>21</v>
      </c>
      <c r="C8" s="9">
        <v>1200.0</v>
      </c>
      <c r="I8" s="8">
        <v>800.0</v>
      </c>
      <c r="J8" s="8">
        <v>1200.0</v>
      </c>
      <c r="K8" s="8">
        <v>1500.0</v>
      </c>
    </row>
    <row r="9" ht="14.25" customHeight="1">
      <c r="B9" s="8" t="s">
        <v>22</v>
      </c>
      <c r="C9" s="9">
        <v>7.0</v>
      </c>
      <c r="I9" s="8">
        <v>3.0</v>
      </c>
      <c r="J9" s="8">
        <v>7.0</v>
      </c>
      <c r="K9" s="8">
        <v>10.0</v>
      </c>
    </row>
    <row r="10" ht="14.25" customHeight="1">
      <c r="B10" s="4" t="s">
        <v>23</v>
      </c>
      <c r="C10" s="4">
        <v>200.0</v>
      </c>
      <c r="I10" s="8"/>
      <c r="J10" s="8"/>
      <c r="K10" s="8"/>
    </row>
    <row r="11" ht="14.25" customHeight="1">
      <c r="B11" s="8" t="s">
        <v>24</v>
      </c>
      <c r="C11" s="10">
        <f>(C10+(C8*0.1))*(1+C9/100)</f>
        <v>342.4</v>
      </c>
      <c r="I11" s="4" t="s">
        <v>25</v>
      </c>
      <c r="J11" s="4" t="s">
        <v>26</v>
      </c>
      <c r="K11" s="4" t="s">
        <v>27</v>
      </c>
    </row>
    <row r="12" ht="14.25" customHeight="1"/>
    <row r="13" ht="14.25" customHeight="1"/>
    <row r="14" ht="14.25" customHeight="1">
      <c r="H14" s="1" t="s">
        <v>28</v>
      </c>
      <c r="I14" s="1" t="s">
        <v>29</v>
      </c>
    </row>
    <row r="15" ht="14.25" customHeight="1">
      <c r="I15" s="1" t="s">
        <v>30</v>
      </c>
    </row>
    <row r="16" ht="14.25" customHeight="1"/>
    <row r="17" ht="14.25" customHeight="1">
      <c r="H17" s="11" t="s">
        <v>31</v>
      </c>
      <c r="I17" s="1" t="s">
        <v>32</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1.14"/>
    <col customWidth="1" min="3" max="3" width="12.29"/>
    <col customWidth="1" min="4" max="8" width="8.71"/>
    <col customWidth="1" min="9" max="9" width="15.0"/>
    <col customWidth="1" min="10" max="26" width="8.71"/>
  </cols>
  <sheetData>
    <row r="1" ht="14.25" customHeight="1">
      <c r="C1" s="11" t="s">
        <v>33</v>
      </c>
    </row>
    <row r="2" ht="14.25" customHeight="1"/>
    <row r="3" ht="14.25" customHeight="1"/>
    <row r="4" ht="14.25" customHeight="1"/>
    <row r="5" ht="14.25" customHeight="1"/>
    <row r="6" ht="14.25" customHeight="1"/>
    <row r="7" ht="14.25" customHeight="1">
      <c r="I7" s="2" t="s">
        <v>1</v>
      </c>
    </row>
    <row r="8" ht="14.25" customHeight="1">
      <c r="I8" s="1" t="s">
        <v>34</v>
      </c>
      <c r="M8" s="1" t="s">
        <v>35</v>
      </c>
    </row>
    <row r="9" ht="14.25" customHeight="1">
      <c r="B9" s="12" t="s">
        <v>36</v>
      </c>
      <c r="C9" s="12" t="s">
        <v>37</v>
      </c>
      <c r="D9" s="12" t="s">
        <v>38</v>
      </c>
      <c r="E9" s="12" t="s">
        <v>39</v>
      </c>
      <c r="I9" s="13" t="s">
        <v>40</v>
      </c>
      <c r="J9" s="13" t="s">
        <v>38</v>
      </c>
      <c r="K9" s="13"/>
      <c r="M9" s="13" t="s">
        <v>40</v>
      </c>
      <c r="N9" s="13" t="s">
        <v>38</v>
      </c>
      <c r="O9" s="13"/>
    </row>
    <row r="10" ht="14.25" customHeight="1">
      <c r="B10" s="14" t="s">
        <v>41</v>
      </c>
      <c r="C10" s="15">
        <v>12.0</v>
      </c>
      <c r="D10" s="15">
        <v>550.0</v>
      </c>
      <c r="E10" s="16">
        <v>6600.0</v>
      </c>
      <c r="I10" s="15">
        <v>8.0</v>
      </c>
      <c r="J10" s="15">
        <v>480.0</v>
      </c>
      <c r="K10" s="17"/>
      <c r="M10" s="15">
        <v>12.0</v>
      </c>
      <c r="N10" s="15">
        <v>550.0</v>
      </c>
      <c r="O10" s="17"/>
    </row>
    <row r="11" ht="14.25" customHeight="1">
      <c r="B11" s="14" t="s">
        <v>42</v>
      </c>
      <c r="C11" s="15">
        <v>18.0</v>
      </c>
      <c r="D11" s="15">
        <v>750.0</v>
      </c>
      <c r="E11" s="16">
        <v>13500.0</v>
      </c>
      <c r="I11" s="15">
        <v>12.0</v>
      </c>
      <c r="J11" s="15">
        <v>650.0</v>
      </c>
      <c r="K11" s="17"/>
      <c r="M11" s="15">
        <v>18.0</v>
      </c>
      <c r="N11" s="15">
        <v>750.0</v>
      </c>
      <c r="O11" s="17"/>
    </row>
    <row r="12" ht="14.25" customHeight="1">
      <c r="B12" s="14" t="s">
        <v>43</v>
      </c>
      <c r="C12" s="15">
        <v>25.0</v>
      </c>
      <c r="D12" s="17">
        <v>1100.0</v>
      </c>
      <c r="E12" s="16">
        <v>27500.0</v>
      </c>
      <c r="I12" s="15">
        <v>18.0</v>
      </c>
      <c r="J12" s="15">
        <v>950.0</v>
      </c>
      <c r="K12" s="17"/>
      <c r="M12" s="15">
        <v>25.0</v>
      </c>
      <c r="N12" s="17">
        <v>1100.0</v>
      </c>
      <c r="O12" s="17"/>
    </row>
    <row r="13" ht="14.25" customHeight="1">
      <c r="B13" s="14" t="s">
        <v>44</v>
      </c>
      <c r="C13" s="15">
        <v>15.0</v>
      </c>
      <c r="D13" s="15">
        <v>850.0</v>
      </c>
      <c r="E13" s="16">
        <v>12750.0</v>
      </c>
      <c r="I13" s="15">
        <v>10.0</v>
      </c>
      <c r="J13" s="15">
        <v>750.0</v>
      </c>
      <c r="K13" s="17"/>
      <c r="M13" s="15">
        <v>15.0</v>
      </c>
      <c r="N13" s="15">
        <v>850.0</v>
      </c>
      <c r="O13" s="17"/>
    </row>
    <row r="14" ht="14.25" customHeight="1">
      <c r="B14" s="14" t="s">
        <v>45</v>
      </c>
      <c r="C14" s="14">
        <f>SUM(C10:C13)</f>
        <v>70</v>
      </c>
      <c r="D14" s="18"/>
      <c r="E14" s="19">
        <f>SUM(E10:E13)</f>
        <v>60350</v>
      </c>
    </row>
    <row r="15" ht="14.25" customHeight="1">
      <c r="B15" s="20"/>
    </row>
    <row r="16" ht="14.25" customHeight="1">
      <c r="I16" s="21"/>
    </row>
    <row r="17" ht="14.25" customHeight="1">
      <c r="I17" s="22" t="s">
        <v>46</v>
      </c>
    </row>
    <row r="18" ht="14.25" customHeight="1">
      <c r="I18" s="13" t="s">
        <v>40</v>
      </c>
      <c r="J18" s="13" t="s">
        <v>38</v>
      </c>
      <c r="K18" s="13"/>
      <c r="L18" s="13"/>
    </row>
    <row r="19" ht="14.25" customHeight="1">
      <c r="I19" s="15">
        <v>9.0</v>
      </c>
      <c r="J19" s="15">
        <v>500.0</v>
      </c>
      <c r="K19" s="17"/>
      <c r="L19" s="17"/>
    </row>
    <row r="20" ht="14.25" customHeight="1">
      <c r="I20" s="15">
        <v>14.0</v>
      </c>
      <c r="J20" s="15">
        <v>720.0</v>
      </c>
      <c r="K20" s="17"/>
      <c r="L20" s="17"/>
    </row>
    <row r="21" ht="14.25" customHeight="1">
      <c r="I21" s="15">
        <v>20.0</v>
      </c>
      <c r="J21" s="17">
        <v>1000.0</v>
      </c>
      <c r="K21" s="17"/>
      <c r="L21" s="17"/>
    </row>
    <row r="22" ht="14.25" customHeight="1">
      <c r="I22" s="15">
        <v>11.0</v>
      </c>
      <c r="J22" s="15">
        <v>780.0</v>
      </c>
      <c r="K22" s="17"/>
      <c r="L22" s="17"/>
    </row>
    <row r="23" ht="14.25" customHeight="1">
      <c r="I23" s="23"/>
      <c r="J23" s="23"/>
      <c r="K23" s="15"/>
      <c r="L23" s="24"/>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1.86"/>
    <col customWidth="1" min="3" max="3" width="10.43"/>
    <col customWidth="1" min="4" max="26" width="8.71"/>
  </cols>
  <sheetData>
    <row r="1" ht="14.25" customHeight="1"/>
    <row r="2" ht="14.25" customHeight="1"/>
    <row r="3" ht="14.25" customHeight="1"/>
    <row r="4" ht="14.25" customHeight="1"/>
    <row r="5" ht="14.25" customHeight="1"/>
    <row r="6" ht="14.25" customHeight="1"/>
    <row r="7" ht="14.25" customHeight="1">
      <c r="J7" s="2" t="s">
        <v>1</v>
      </c>
    </row>
    <row r="8" ht="14.25" customHeight="1">
      <c r="B8" s="7" t="s">
        <v>47</v>
      </c>
      <c r="C8" s="7" t="s">
        <v>48</v>
      </c>
      <c r="J8" s="13" t="s">
        <v>49</v>
      </c>
      <c r="K8" s="13" t="s">
        <v>50</v>
      </c>
      <c r="L8" s="13" t="s">
        <v>51</v>
      </c>
    </row>
    <row r="9" ht="14.25" customHeight="1">
      <c r="B9" s="25" t="s">
        <v>52</v>
      </c>
      <c r="C9" s="9">
        <v>1500.0</v>
      </c>
      <c r="J9" s="15">
        <v>1000.0</v>
      </c>
      <c r="K9" s="15">
        <v>1200.0</v>
      </c>
      <c r="L9" s="15">
        <v>1500.0</v>
      </c>
    </row>
    <row r="10" ht="14.25" customHeight="1">
      <c r="B10" s="25" t="s">
        <v>53</v>
      </c>
      <c r="C10" s="9">
        <v>500.0</v>
      </c>
      <c r="J10" s="15">
        <v>300.0</v>
      </c>
      <c r="K10" s="15">
        <v>500.0</v>
      </c>
      <c r="L10" s="15">
        <v>800.0</v>
      </c>
    </row>
    <row r="11" ht="14.25" customHeight="1">
      <c r="B11" s="25" t="s">
        <v>9</v>
      </c>
      <c r="C11" s="9">
        <v>200.0</v>
      </c>
      <c r="J11" s="15">
        <v>150.0</v>
      </c>
      <c r="K11" s="15">
        <v>250.0</v>
      </c>
      <c r="L11" s="15">
        <v>400.0</v>
      </c>
    </row>
    <row r="12" ht="14.25" customHeight="1">
      <c r="B12" s="25" t="s">
        <v>8</v>
      </c>
      <c r="C12" s="9">
        <v>300.0</v>
      </c>
      <c r="J12" s="15">
        <v>100.0</v>
      </c>
      <c r="K12" s="15">
        <v>300.0</v>
      </c>
      <c r="L12" s="15">
        <v>600.0</v>
      </c>
    </row>
    <row r="13" ht="14.25" customHeight="1">
      <c r="B13" s="25" t="s">
        <v>54</v>
      </c>
      <c r="C13" s="9">
        <v>250.0</v>
      </c>
      <c r="J13" s="15">
        <v>100.0</v>
      </c>
      <c r="K13" s="15">
        <v>250.0</v>
      </c>
      <c r="L13" s="15">
        <v>500.0</v>
      </c>
    </row>
    <row r="14" ht="14.25" customHeight="1">
      <c r="B14" s="25" t="s">
        <v>55</v>
      </c>
      <c r="C14" s="9">
        <v>150.0</v>
      </c>
      <c r="J14" s="15">
        <v>50.0</v>
      </c>
      <c r="K14" s="15">
        <v>150.0</v>
      </c>
      <c r="L14" s="15">
        <v>300.0</v>
      </c>
    </row>
    <row r="15" ht="14.25" customHeight="1">
      <c r="B15" s="25" t="s">
        <v>12</v>
      </c>
      <c r="C15" s="9">
        <v>100.0</v>
      </c>
      <c r="J15" s="15">
        <v>50.0</v>
      </c>
      <c r="K15" s="15">
        <v>100.0</v>
      </c>
      <c r="L15" s="15">
        <v>200.0</v>
      </c>
    </row>
    <row r="16" ht="14.25" customHeight="1">
      <c r="B16" s="25" t="s">
        <v>56</v>
      </c>
      <c r="C16" s="9">
        <v>400.0</v>
      </c>
      <c r="J16" s="15">
        <v>100.0</v>
      </c>
      <c r="K16" s="15">
        <v>300.0</v>
      </c>
      <c r="L16" s="15">
        <v>800.0</v>
      </c>
    </row>
    <row r="17" ht="14.25" customHeight="1">
      <c r="B17" s="25" t="s">
        <v>57</v>
      </c>
      <c r="C17" s="9">
        <v>100.0</v>
      </c>
      <c r="J17" s="15">
        <v>50.0</v>
      </c>
      <c r="K17" s="15">
        <v>100.0</v>
      </c>
      <c r="L17" s="15">
        <v>200.0</v>
      </c>
    </row>
    <row r="18" ht="14.25" customHeight="1">
      <c r="B18" s="25" t="s">
        <v>58</v>
      </c>
      <c r="C18" s="9">
        <v>500.0</v>
      </c>
      <c r="J18" s="15">
        <v>300.0</v>
      </c>
      <c r="K18" s="15">
        <v>500.0</v>
      </c>
      <c r="L18" s="15">
        <v>1000.0</v>
      </c>
    </row>
    <row r="19" ht="14.25" customHeight="1">
      <c r="B19" s="25" t="s">
        <v>59</v>
      </c>
      <c r="C19" s="9">
        <v>200.0</v>
      </c>
      <c r="J19" s="15">
        <v>200.0</v>
      </c>
      <c r="K19" s="15">
        <v>200.0</v>
      </c>
      <c r="L19" s="15">
        <v>200.0</v>
      </c>
    </row>
    <row r="20" ht="14.25" customHeight="1">
      <c r="B20" s="25" t="s">
        <v>60</v>
      </c>
      <c r="C20" s="9">
        <v>100.0</v>
      </c>
      <c r="J20" s="15">
        <v>50.0</v>
      </c>
      <c r="K20" s="15">
        <v>100.0</v>
      </c>
      <c r="L20" s="15">
        <v>200.0</v>
      </c>
    </row>
    <row r="21" ht="14.25" customHeight="1">
      <c r="B21" s="25" t="s">
        <v>61</v>
      </c>
      <c r="C21" s="9">
        <v>150.0</v>
      </c>
      <c r="J21" s="15">
        <v>100.0</v>
      </c>
      <c r="K21" s="15">
        <v>150.0</v>
      </c>
      <c r="L21" s="15">
        <v>300.0</v>
      </c>
    </row>
    <row r="22" ht="14.25" customHeight="1">
      <c r="B22" s="23"/>
      <c r="C22" s="15"/>
      <c r="J22" s="15"/>
      <c r="K22" s="15"/>
      <c r="L22" s="15"/>
    </row>
    <row r="23" ht="14.25" customHeight="1">
      <c r="B23" s="23" t="s">
        <v>14</v>
      </c>
      <c r="C23" s="26">
        <v>5800.0</v>
      </c>
      <c r="J23" s="15">
        <v>5500.0</v>
      </c>
      <c r="K23" s="15">
        <v>5800.0</v>
      </c>
      <c r="L23" s="15">
        <v>6500.0</v>
      </c>
    </row>
    <row r="24" ht="14.25" customHeight="1">
      <c r="B24" s="23" t="s">
        <v>62</v>
      </c>
      <c r="C24" s="1">
        <f>SUM(C9:C21)</f>
        <v>4450</v>
      </c>
    </row>
    <row r="25" ht="14.25" customHeight="1">
      <c r="B25" s="23" t="s">
        <v>15</v>
      </c>
      <c r="C25" s="27"/>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2025-02-22T21:04:02Z</dcterms:created>
  <dc:creator>Datamites</dc:creator>
</cp:coreProperties>
</file>